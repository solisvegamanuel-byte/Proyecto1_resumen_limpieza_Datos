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shboard" sheetId="1" r:id="rId5"/>
  </sheets>
  <definedNames>
    <definedName name="monthly_target">#REF!</definedName>
    <definedName name="Selected_Month">#REF!</definedName>
    <definedName name="Lower_percentile">#REF!</definedName>
    <definedName name="Upper_Limit">#REF!</definedName>
    <definedName name="Lower_Limit">#REF!</definedName>
    <definedName name="Upper_percentile">#REF!</definedName>
  </definedNames>
  <calcPr/>
</workbook>
</file>

<file path=xl/sharedStrings.xml><?xml version="1.0" encoding="utf-8"?>
<sst xmlns="http://schemas.openxmlformats.org/spreadsheetml/2006/main" count="30" uniqueCount="30">
  <si>
    <t>Pais</t>
  </si>
  <si>
    <t>ClaveTerritorio</t>
  </si>
  <si>
    <t>ingresos</t>
  </si>
  <si>
    <t>costos</t>
  </si>
  <si>
    <t>CostoCampanas</t>
  </si>
  <si>
    <t>BeneficioBruto</t>
  </si>
  <si>
    <t>Margen_pct</t>
  </si>
  <si>
    <t>ROI_pct</t>
  </si>
  <si>
    <t>INSIGHT C F I</t>
  </si>
  <si>
    <t>United States</t>
  </si>
  <si>
    <t>Contexto:</t>
  </si>
  <si>
    <t>Australia</t>
  </si>
  <si>
    <t>Se realizó un análisis del desempeño financiero global por territorio para evaluar la efectividad de las estrategias de marketing digital. El objetivo principal es medir la rentabilidad real de las campañas publicitarias (CostoCampanas) frente a la generación de ingresos y el beneficio neto remanente en cada país de operación</t>
  </si>
  <si>
    <t>United Kingdom</t>
  </si>
  <si>
    <t>Germany</t>
  </si>
  <si>
    <t>Hallazgos</t>
  </si>
  <si>
    <t>France</t>
  </si>
  <si>
    <t>1) Estados Unidos destaca como el mercado más eficiente ya que el único territorio que muestra un ROI altamente competitivo del 75% logrando que sus ingresos casi dupliquen los costos de adquisición publicitaria con una inversión menor a la de Europa.</t>
  </si>
  <si>
    <t>Canada</t>
  </si>
  <si>
    <t>2) A pesar de tener un margen bruto de producto saludable y muy similar en todos los países (alrededor del 42% - 44%), los mercados de Reino Unido, Alemania, Francia y Canadá presentan un ROI crítico (inferior al 22%) debido a un gasto desproporcionado en campañas publicitarias que no se traduce en volumen de ventas.</t>
  </si>
  <si>
    <t>¿Cuál es la diferencia entre Margen y ROI?</t>
  </si>
  <si>
    <t>1) Margen es lo ganancia neta medida en porcentaje en base a tu ingreso (ingreso - costo / ingreso) mide lo que te queda de balance después de cubrir los costos de ventas y ROI es el porcentaje de ganancia que obtienes a partir de lo que invertiste (Por ejemplo si inviertes $100 y obtienes $20 de ganancia tu ROI es de 20%)</t>
  </si>
  <si>
    <t>3)  Al simular un incremento del 50% en el presupuesto de marketing, la rentabilidad global se desploma. El capital invertido en los 4 mercados más débiles caería a rendimientos de apenas el 11% - 14%, convirtiéndose en inversiones financieramente inviables por lo que es ideal no apostar tanto capital solo en las campañas</t>
  </si>
  <si>
    <t>¿Por qué el ROI en Estados Unidos es tan alto comparado con otros países?</t>
  </si>
  <si>
    <t>1) En mi opinion es por ue EUA invierte de forma mas optimizada su capital en las campañas lo suficiente para que el ingreso casi doble el costo de la campaña, en cambio puedo observarse que los demas paises hicieron un gasto mucho mayor en las campañas por lo que a lo mejor pudieron a ver gastado de mas.</t>
  </si>
  <si>
    <t>Implicación</t>
  </si>
  <si>
    <t>Si aumentáramos el gasto de campañas en un 50%, ¿qué pasaría con el ROI?</t>
  </si>
  <si>
    <t>1) Se debe frenar inmediatamente el incremento de presupuesto en las campañas de bajo rendimiento (Europa y Canadá) y redirigir el capital excedente hacia la optimización del mercado norteamericano o la reestructuración profunda de los canales de adquisición digital en las regiones afectadas.</t>
  </si>
  <si>
    <t>1) El ROI cae considerablemente (EUA: 50%, Australia: 32.77%, Reino Unido: 14.70%, Alemania: 13.45%, Francia:11.97% y Canada: 11.62%) sobre todo el de Canada, Reino unido, Alemania y Francia que caeria a casi un 10%, tristemente el capital invertido habria trabajado muy poco para estos 4 paises.</t>
  </si>
  <si>
    <t>2)Es urgente auditar los costos por clic o por adquisición (CPA) en los mercados internacionales de bajo ROI. El éxito comercial no dependerá de gastar más dinero en marketing, sino de igualar los niveles de conversión por dólar invertido que actualmente registra la operación de Estados Unidos.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</si>
</sst>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00"/>
  </numFmts>
  <fonts count="6">
    <font>
      <sz val="10.0"/>
      <color rgb="FF000000"/>
      <name val="Arial"/>
      <scheme val="minor"/>
    </font>
    <font>
      <b/>
      <color theme="1"/>
      <name val="Arial"/>
      <scheme val="minor"/>
    </font>
    <font>
      <color theme="1"/>
      <name val="Arial"/>
      <scheme val="minor"/>
    </font>
    <font>
      <b/>
      <color rgb="FFFFFFFF"/>
      <name val="Arial"/>
      <scheme val="minor"/>
    </font>
    <font/>
    <font>
      <color rgb="FF434343"/>
      <name val="Roboto"/>
    </font>
  </fonts>
  <fills count="7">
    <fill>
      <patternFill patternType="none"/>
    </fill>
    <fill>
      <patternFill patternType="lightGray"/>
    </fill>
    <fill>
      <patternFill patternType="solid">
        <fgColor rgb="FFF3F3F3"/>
        <bgColor rgb="FFF3F3F3"/>
      </patternFill>
    </fill>
    <fill>
      <patternFill patternType="solid">
        <fgColor rgb="FF274E13"/>
        <bgColor rgb="FF274E13"/>
      </patternFill>
    </fill>
    <fill>
      <patternFill patternType="solid">
        <fgColor rgb="FFFFFFFF"/>
        <bgColor rgb="FFFFFFFF"/>
      </patternFill>
    </fill>
    <fill>
      <patternFill patternType="solid">
        <fgColor rgb="FFD0E0E3"/>
        <bgColor rgb="FFD0E0E3"/>
      </patternFill>
    </fill>
    <fill>
      <patternFill patternType="solid">
        <fgColor rgb="FFF6F8F9"/>
        <bgColor rgb="FFF6F8F9"/>
      </patternFill>
    </fill>
  </fills>
  <borders count="12">
    <border/>
    <border>
      <left style="thin">
        <color rgb="FF000000"/>
      </left>
      <top style="thin">
        <color rgb="FF000000"/>
      </top>
    </border>
    <border>
      <top style="thin">
        <color rgb="FF000000"/>
      </top>
    </border>
    <border>
      <right style="thin">
        <color rgb="FF000000"/>
      </right>
      <top style="thin">
        <color rgb="FF000000"/>
      </top>
    </border>
    <border>
      <left style="thin">
        <color rgb="FFFFFFFF"/>
      </left>
      <right style="thin">
        <color rgb="FFFFFFFF"/>
      </right>
      <top style="thin">
        <color rgb="FFFFFFFF"/>
      </top>
      <bottom style="thin">
        <color rgb="FFFFFFFF"/>
      </bottom>
    </border>
    <border>
      <left style="thin">
        <color rgb="FF000000"/>
      </left>
    </border>
    <border>
      <right style="thin">
        <color rgb="FF000000"/>
      </right>
    </border>
    <border>
      <left style="thin">
        <color rgb="FFF6F8F9"/>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284E3F"/>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2" fontId="2" numFmtId="0" xfId="0" applyFont="1"/>
    <xf borderId="0" fillId="0" fontId="1" numFmtId="0" xfId="0" applyAlignment="1" applyFont="1">
      <alignment horizontal="center" readingOrder="0" shrinkToFit="0" vertical="center" wrapText="0"/>
    </xf>
    <xf borderId="1" fillId="3" fontId="3" numFmtId="0" xfId="0" applyAlignment="1" applyBorder="1" applyFill="1" applyFont="1">
      <alignment horizontal="center" readingOrder="0" vertical="center"/>
    </xf>
    <xf borderId="2" fillId="0" fontId="4" numFmtId="0" xfId="0" applyBorder="1" applyFont="1"/>
    <xf borderId="3" fillId="0" fontId="4" numFmtId="0" xfId="0" applyBorder="1" applyFont="1"/>
    <xf borderId="0" fillId="0" fontId="2" numFmtId="0" xfId="0" applyAlignment="1" applyFont="1">
      <alignment readingOrder="0" shrinkToFit="0" vertical="center" wrapText="0"/>
    </xf>
    <xf borderId="0" fillId="0" fontId="2" numFmtId="164" xfId="0" applyAlignment="1" applyFont="1" applyNumberFormat="1">
      <alignment readingOrder="0" shrinkToFit="0" vertical="center" wrapText="0"/>
    </xf>
    <xf borderId="4" fillId="4" fontId="5" numFmtId="164" xfId="0" applyAlignment="1" applyBorder="1" applyFill="1" applyFont="1" applyNumberFormat="1">
      <alignment horizontal="right" shrinkToFit="0" vertical="center" wrapText="0"/>
    </xf>
    <xf borderId="0" fillId="0" fontId="2" numFmtId="10" xfId="0" applyAlignment="1" applyFont="1" applyNumberFormat="1">
      <alignment readingOrder="0" shrinkToFit="0" vertical="center" wrapText="0"/>
    </xf>
    <xf borderId="0" fillId="0" fontId="2" numFmtId="10" xfId="0" applyAlignment="1" applyFont="1" applyNumberFormat="1">
      <alignment shrinkToFit="0" vertical="center" wrapText="0"/>
    </xf>
    <xf borderId="5" fillId="5" fontId="1" numFmtId="0" xfId="0" applyAlignment="1" applyBorder="1" applyFill="1" applyFont="1">
      <alignment horizontal="right" readingOrder="0" vertical="center"/>
    </xf>
    <xf borderId="0" fillId="5" fontId="2" numFmtId="0" xfId="0" applyAlignment="1" applyFont="1">
      <alignment horizontal="right" vertical="center"/>
    </xf>
    <xf borderId="6" fillId="5" fontId="2" numFmtId="0" xfId="0" applyAlignment="1" applyBorder="1" applyFont="1">
      <alignment horizontal="right" vertical="center"/>
    </xf>
    <xf borderId="0" fillId="2" fontId="2" numFmtId="0" xfId="0" applyAlignment="1" applyFont="1">
      <alignment horizontal="right" vertical="center"/>
    </xf>
    <xf borderId="0" fillId="0" fontId="2" numFmtId="0" xfId="0" applyAlignment="1" applyFont="1">
      <alignment horizontal="center" readingOrder="0" shrinkToFit="0" vertical="center" wrapText="0"/>
    </xf>
    <xf borderId="0" fillId="0" fontId="2" numFmtId="164" xfId="0" applyAlignment="1" applyFont="1" applyNumberFormat="1">
      <alignment horizontal="center" readingOrder="0" shrinkToFit="0" vertical="center" wrapText="0"/>
    </xf>
    <xf borderId="7" fillId="6" fontId="5" numFmtId="164" xfId="0" applyAlignment="1" applyBorder="1" applyFill="1" applyFont="1" applyNumberFormat="1">
      <alignment horizontal="right" shrinkToFit="0" vertical="center" wrapText="0"/>
    </xf>
    <xf borderId="0" fillId="0" fontId="2" numFmtId="10" xfId="0" applyAlignment="1" applyFont="1" applyNumberFormat="1">
      <alignment horizontal="center" readingOrder="0" shrinkToFit="0" vertical="center" wrapText="0"/>
    </xf>
    <xf borderId="0" fillId="0" fontId="2" numFmtId="10" xfId="0" applyAlignment="1" applyFont="1" applyNumberFormat="1">
      <alignment horizontal="center" shrinkToFit="0" vertical="center" wrapText="0"/>
    </xf>
    <xf borderId="5" fillId="4" fontId="2" numFmtId="0" xfId="0" applyAlignment="1" applyBorder="1" applyFont="1">
      <alignment horizontal="center" readingOrder="0" shrinkToFit="0" vertical="center" wrapText="1"/>
    </xf>
    <xf borderId="6" fillId="0" fontId="4" numFmtId="0" xfId="0" applyBorder="1" applyFont="1"/>
    <xf borderId="5" fillId="0" fontId="4" numFmtId="0" xfId="0" applyBorder="1" applyFont="1"/>
    <xf borderId="5" fillId="4" fontId="2" numFmtId="0" xfId="0" applyAlignment="1" applyBorder="1" applyFont="1">
      <alignment horizontal="left" readingOrder="0" shrinkToFit="0" vertical="top" wrapText="1"/>
    </xf>
    <xf borderId="8" fillId="6" fontId="5" numFmtId="164" xfId="0" applyAlignment="1" applyBorder="1" applyFont="1" applyNumberFormat="1">
      <alignment horizontal="right" shrinkToFit="0" vertical="center" wrapText="0"/>
    </xf>
    <xf borderId="1" fillId="5" fontId="1" numFmtId="0" xfId="0" applyAlignment="1" applyBorder="1" applyFont="1">
      <alignment horizontal="left" readingOrder="0" vertical="center"/>
    </xf>
    <xf borderId="5" fillId="5" fontId="1" numFmtId="0" xfId="0" applyAlignment="1" applyBorder="1" applyFont="1">
      <alignment horizontal="left" readingOrder="0" vertical="center"/>
    </xf>
    <xf borderId="9" fillId="4" fontId="2" numFmtId="0" xfId="0" applyAlignment="1" applyBorder="1" applyFont="1">
      <alignment horizontal="left" readingOrder="0" shrinkToFit="0" vertical="top" wrapText="1"/>
    </xf>
    <xf borderId="10" fillId="0" fontId="4" numFmtId="0" xfId="0" applyBorder="1" applyFont="1"/>
    <xf borderId="11" fillId="0" fontId="4" numFmtId="0" xfId="0" applyBorder="1" applyFont="1"/>
    <xf borderId="9" fillId="0" fontId="4" numFmtId="0" xfId="0" applyBorder="1" applyFont="1"/>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shboard-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2:I8" displayName="Table1" name="Table1" id="1">
  <tableColumns count="8">
    <tableColumn name="Pais" id="1"/>
    <tableColumn name="ClaveTerritorio" id="2"/>
    <tableColumn name="ingresos" id="3"/>
    <tableColumn name="costos" id="4"/>
    <tableColumn name="CostoCampanas" id="5"/>
    <tableColumn name="BeneficioBruto" id="6"/>
    <tableColumn name="Margen_pct" id="7"/>
    <tableColumn name="ROI_pct" id="8"/>
  </tableColumns>
  <tableStyleInfo name="Dashboard-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891AD"/>
      </a:accent1>
      <a:accent2>
        <a:srgbClr val="004561"/>
      </a:accent2>
      <a:accent3>
        <a:srgbClr val="FF6F31"/>
      </a:accent3>
      <a:accent4>
        <a:srgbClr val="1C7685"/>
      </a:accent4>
      <a:accent5>
        <a:srgbClr val="0F45A8"/>
      </a:accent5>
      <a:accent6>
        <a:srgbClr val="4CDC8B"/>
      </a:accent6>
      <a:hlink>
        <a:srgbClr val="0097A7"/>
      </a:hlink>
      <a:folHlink>
        <a:srgbClr val="0097A7"/>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D9EEB"/>
    <outlinePr summaryBelow="0" summaryRight="0"/>
  </sheetPr>
  <sheetViews>
    <sheetView showGridLines="0" workbookViewId="0"/>
  </sheetViews>
  <sheetFormatPr customHeight="1" defaultColWidth="12.63" defaultRowHeight="15.75"/>
  <cols>
    <col customWidth="1" min="1" max="1" width="2.38"/>
    <col customWidth="1" min="2" max="2" width="14.13"/>
    <col customWidth="1" min="3" max="3" width="16.63"/>
    <col customWidth="1" min="4" max="4" width="15.25"/>
    <col customWidth="1" min="5" max="5" width="13.75"/>
    <col customWidth="1" min="6" max="6" width="21.0"/>
    <col customWidth="1" min="7" max="7" width="19.88"/>
    <col customWidth="1" min="8" max="8" width="17.63"/>
    <col customWidth="1" min="9" max="9" width="14.5"/>
    <col customWidth="1" min="10" max="10" width="2.38"/>
    <col customWidth="1" min="11" max="12" width="12.0"/>
    <col customWidth="1" min="13" max="13" width="16.5"/>
    <col customWidth="1" min="14" max="14" width="2.38"/>
  </cols>
  <sheetData>
    <row r="1">
      <c r="A1" s="1"/>
      <c r="B1" s="1"/>
      <c r="C1" s="1"/>
      <c r="D1" s="1"/>
      <c r="E1" s="2"/>
      <c r="F1" s="1"/>
      <c r="G1" s="1"/>
      <c r="H1" s="1"/>
      <c r="I1" s="2"/>
      <c r="J1" s="2"/>
      <c r="K1" s="1"/>
      <c r="L1" s="1"/>
      <c r="M1" s="1"/>
      <c r="N1" s="2"/>
    </row>
    <row r="2" ht="22.5" customHeight="1">
      <c r="A2" s="2"/>
      <c r="B2" s="3" t="s">
        <v>0</v>
      </c>
      <c r="C2" s="3" t="s">
        <v>1</v>
      </c>
      <c r="D2" s="3" t="s">
        <v>2</v>
      </c>
      <c r="E2" s="3" t="s">
        <v>3</v>
      </c>
      <c r="F2" s="3" t="s">
        <v>4</v>
      </c>
      <c r="G2" s="3" t="s">
        <v>5</v>
      </c>
      <c r="H2" s="3" t="s">
        <v>6</v>
      </c>
      <c r="I2" s="3" t="s">
        <v>7</v>
      </c>
      <c r="J2" s="2"/>
      <c r="K2" s="4" t="s">
        <v>8</v>
      </c>
      <c r="L2" s="5"/>
      <c r="M2" s="6"/>
      <c r="N2" s="2"/>
    </row>
    <row r="3" ht="42.0" customHeight="1">
      <c r="A3" s="2"/>
      <c r="B3" s="7" t="s">
        <v>9</v>
      </c>
      <c r="C3" s="7">
        <v>1.0</v>
      </c>
      <c r="D3" s="8">
        <v>3353939.92</v>
      </c>
      <c r="E3" s="8">
        <v>1899471.33</v>
      </c>
      <c r="F3" s="9">
        <v>1920000.0</v>
      </c>
      <c r="G3" s="8">
        <v>1454468.6</v>
      </c>
      <c r="H3" s="10">
        <f t="shared" ref="H3:H8" si="1">G3/D3</f>
        <v>0.4336597061</v>
      </c>
      <c r="I3" s="11">
        <f t="shared" ref="I3:I8" si="2">G3/F3</f>
        <v>0.7575357292</v>
      </c>
      <c r="J3" s="2"/>
      <c r="K3" s="12" t="s">
        <v>10</v>
      </c>
      <c r="L3" s="13"/>
      <c r="M3" s="14"/>
      <c r="N3" s="2"/>
    </row>
    <row r="4" ht="103.5" customHeight="1">
      <c r="A4" s="15"/>
      <c r="B4" s="16" t="s">
        <v>11</v>
      </c>
      <c r="C4" s="16">
        <v>9.0</v>
      </c>
      <c r="D4" s="17">
        <v>2532003.49</v>
      </c>
      <c r="E4" s="17">
        <v>1474958.18</v>
      </c>
      <c r="F4" s="18">
        <v>2150400.0</v>
      </c>
      <c r="G4" s="17">
        <v>1057045.31</v>
      </c>
      <c r="H4" s="19">
        <f t="shared" si="1"/>
        <v>0.4174738756</v>
      </c>
      <c r="I4" s="20">
        <f t="shared" si="2"/>
        <v>0.4915575288</v>
      </c>
      <c r="J4" s="15"/>
      <c r="K4" s="21" t="s">
        <v>12</v>
      </c>
      <c r="M4" s="22"/>
      <c r="N4" s="15"/>
    </row>
    <row r="5" ht="19.5" customHeight="1">
      <c r="A5" s="2"/>
      <c r="B5" s="7" t="s">
        <v>13</v>
      </c>
      <c r="C5" s="7">
        <v>10.0</v>
      </c>
      <c r="D5" s="8">
        <v>1189636.78</v>
      </c>
      <c r="E5" s="8">
        <v>681508.55</v>
      </c>
      <c r="F5" s="9">
        <v>2304000.0</v>
      </c>
      <c r="G5" s="8">
        <v>508128.24</v>
      </c>
      <c r="H5" s="10">
        <f t="shared" si="1"/>
        <v>0.4271288922</v>
      </c>
      <c r="I5" s="11">
        <f t="shared" si="2"/>
        <v>0.2205417708</v>
      </c>
      <c r="J5" s="2"/>
      <c r="K5" s="23"/>
      <c r="M5" s="22"/>
      <c r="N5" s="2"/>
    </row>
    <row r="6" ht="36.0" customHeight="1">
      <c r="A6" s="2"/>
      <c r="B6" s="7" t="s">
        <v>14</v>
      </c>
      <c r="C6" s="7">
        <v>8.0</v>
      </c>
      <c r="D6" s="8">
        <v>1071460.42</v>
      </c>
      <c r="E6" s="8">
        <v>611295.36</v>
      </c>
      <c r="F6" s="18">
        <v>2265600.0</v>
      </c>
      <c r="G6" s="8">
        <v>460165.06</v>
      </c>
      <c r="H6" s="10">
        <f t="shared" si="1"/>
        <v>0.4294746231</v>
      </c>
      <c r="I6" s="11">
        <f t="shared" si="2"/>
        <v>0.203109578</v>
      </c>
      <c r="J6" s="2"/>
      <c r="K6" s="12" t="s">
        <v>15</v>
      </c>
      <c r="L6" s="13"/>
      <c r="M6" s="14"/>
      <c r="N6" s="2"/>
    </row>
    <row r="7" ht="36.0" customHeight="1">
      <c r="A7" s="15"/>
      <c r="B7" s="7" t="s">
        <v>16</v>
      </c>
      <c r="C7" s="7">
        <v>7.0</v>
      </c>
      <c r="D7" s="8">
        <v>924316.93</v>
      </c>
      <c r="E7" s="8">
        <v>527797.14</v>
      </c>
      <c r="F7" s="9">
        <v>2208000.0</v>
      </c>
      <c r="G7" s="8">
        <v>396519.79</v>
      </c>
      <c r="H7" s="10">
        <f t="shared" si="1"/>
        <v>0.4289868303</v>
      </c>
      <c r="I7" s="11">
        <f t="shared" si="2"/>
        <v>0.1795832382</v>
      </c>
      <c r="J7" s="15"/>
      <c r="K7" s="24" t="s">
        <v>17</v>
      </c>
      <c r="M7" s="22"/>
      <c r="N7" s="15"/>
    </row>
    <row r="8" ht="48.75" customHeight="1">
      <c r="A8" s="2"/>
      <c r="B8" s="7" t="s">
        <v>18</v>
      </c>
      <c r="C8" s="7">
        <v>6.0</v>
      </c>
      <c r="D8" s="8">
        <v>710205.18</v>
      </c>
      <c r="E8" s="8">
        <v>392325.91</v>
      </c>
      <c r="F8" s="25">
        <v>1824000.0</v>
      </c>
      <c r="G8" s="8">
        <v>317879.27</v>
      </c>
      <c r="H8" s="10">
        <f t="shared" si="1"/>
        <v>0.4475879351</v>
      </c>
      <c r="I8" s="11">
        <f t="shared" si="2"/>
        <v>0.1742759156</v>
      </c>
      <c r="J8" s="2"/>
      <c r="K8" s="23"/>
      <c r="M8" s="22"/>
      <c r="N8" s="2"/>
    </row>
    <row r="9" ht="19.5" customHeight="1">
      <c r="A9" s="2"/>
      <c r="B9" s="2"/>
      <c r="C9" s="2"/>
      <c r="D9" s="2"/>
      <c r="E9" s="2"/>
      <c r="F9" s="2"/>
      <c r="G9" s="2"/>
      <c r="H9" s="2"/>
      <c r="I9" s="2"/>
      <c r="J9" s="2"/>
      <c r="K9" s="24" t="s">
        <v>19</v>
      </c>
      <c r="M9" s="22"/>
      <c r="N9" s="2"/>
    </row>
    <row r="10" ht="81.0" customHeight="1">
      <c r="A10" s="2"/>
      <c r="B10" s="26" t="s">
        <v>20</v>
      </c>
      <c r="C10" s="5"/>
      <c r="D10" s="5"/>
      <c r="E10" s="5"/>
      <c r="F10" s="5"/>
      <c r="G10" s="5"/>
      <c r="H10" s="5"/>
      <c r="I10" s="6"/>
      <c r="J10" s="2"/>
      <c r="K10" s="23"/>
      <c r="M10" s="22"/>
      <c r="N10" s="2"/>
    </row>
    <row r="11" ht="50.25" customHeight="1">
      <c r="A11" s="2"/>
      <c r="B11" s="24" t="s">
        <v>21</v>
      </c>
      <c r="I11" s="22"/>
      <c r="J11" s="2"/>
      <c r="K11" s="24" t="s">
        <v>22</v>
      </c>
      <c r="M11" s="22"/>
      <c r="N11" s="2"/>
    </row>
    <row r="12" ht="40.5" customHeight="1">
      <c r="A12" s="2"/>
      <c r="B12" s="27" t="s">
        <v>23</v>
      </c>
      <c r="I12" s="22"/>
      <c r="J12" s="2"/>
      <c r="K12" s="23"/>
      <c r="M12" s="22"/>
      <c r="N12" s="2"/>
    </row>
    <row r="13" ht="38.25" customHeight="1">
      <c r="A13" s="2"/>
      <c r="B13" s="24" t="s">
        <v>24</v>
      </c>
      <c r="I13" s="22"/>
      <c r="J13" s="2"/>
      <c r="K13" s="12" t="s">
        <v>25</v>
      </c>
      <c r="L13" s="13"/>
      <c r="M13" s="14"/>
      <c r="N13" s="2"/>
    </row>
    <row r="14" ht="38.25" customHeight="1">
      <c r="A14" s="15"/>
      <c r="B14" s="27" t="s">
        <v>26</v>
      </c>
      <c r="I14" s="22"/>
      <c r="J14" s="15"/>
      <c r="K14" s="24" t="s">
        <v>27</v>
      </c>
      <c r="M14" s="22"/>
      <c r="N14" s="15"/>
    </row>
    <row r="15" ht="44.25" customHeight="1">
      <c r="A15" s="15"/>
      <c r="B15" s="28" t="s">
        <v>28</v>
      </c>
      <c r="C15" s="29"/>
      <c r="D15" s="29"/>
      <c r="E15" s="29"/>
      <c r="F15" s="29"/>
      <c r="G15" s="29"/>
      <c r="H15" s="29"/>
      <c r="I15" s="30"/>
      <c r="J15" s="15"/>
      <c r="K15" s="23"/>
      <c r="M15" s="22"/>
      <c r="N15" s="15"/>
    </row>
    <row r="16" ht="20.25" customHeight="1">
      <c r="A16" s="2"/>
      <c r="B16" s="2"/>
      <c r="C16" s="2"/>
      <c r="D16" s="2"/>
      <c r="E16" s="2"/>
      <c r="F16" s="2"/>
      <c r="G16" s="2"/>
      <c r="H16" s="2"/>
      <c r="I16" s="2"/>
      <c r="J16" s="2"/>
      <c r="K16" s="24" t="s">
        <v>29</v>
      </c>
      <c r="M16" s="22"/>
      <c r="N16" s="2"/>
    </row>
    <row r="17" ht="63.0" customHeight="1">
      <c r="A17" s="2"/>
      <c r="B17" s="2"/>
      <c r="C17" s="2"/>
      <c r="D17" s="2"/>
      <c r="E17" s="2"/>
      <c r="F17" s="2"/>
      <c r="G17" s="2"/>
      <c r="H17" s="2"/>
      <c r="I17" s="2"/>
      <c r="J17" s="2"/>
      <c r="K17" s="31"/>
      <c r="L17" s="29"/>
      <c r="M17" s="30"/>
      <c r="N17" s="2"/>
    </row>
    <row r="18">
      <c r="A18" s="2"/>
      <c r="B18" s="2"/>
      <c r="C18" s="2"/>
      <c r="D18" s="2"/>
      <c r="E18" s="2"/>
      <c r="F18" s="2"/>
      <c r="G18" s="2"/>
      <c r="H18" s="2"/>
      <c r="I18" s="2"/>
      <c r="J18" s="2"/>
      <c r="K18" s="2"/>
      <c r="L18" s="2"/>
      <c r="M18" s="2"/>
      <c r="N18" s="2"/>
    </row>
  </sheetData>
  <mergeCells count="13">
    <mergeCell ref="B12:I12"/>
    <mergeCell ref="B13:I13"/>
    <mergeCell ref="B14:I14"/>
    <mergeCell ref="K14:M15"/>
    <mergeCell ref="B15:I15"/>
    <mergeCell ref="K16:M17"/>
    <mergeCell ref="K2:M2"/>
    <mergeCell ref="K4:M5"/>
    <mergeCell ref="K7:M8"/>
    <mergeCell ref="K9:M10"/>
    <mergeCell ref="B10:I10"/>
    <mergeCell ref="B11:I11"/>
    <mergeCell ref="K11:M12"/>
  </mergeCells>
  <dataValidations>
    <dataValidation type="custom" allowBlank="1" showDropDown="1" sqref="D3:I8">
      <formula1>AND(ISNUMBER(D3),(NOT(OR(NOT(ISERROR(DATEVALUE(D3))), AND(ISNUMBER(D3), LEFT(CELL("format", D3))="D")))))</formula1>
    </dataValidation>
  </dataValidations>
  <drawing r:id="rId1"/>
  <tableParts count="1">
    <tablePart r:id="rId3"/>
  </tableParts>
</worksheet>
</file>